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48045_westernsydney_edu_au/Documents/Documents/Thesis/TwoCombinedGames/"/>
    </mc:Choice>
  </mc:AlternateContent>
  <xr:revisionPtr revIDLastSave="256" documentId="8_{D4395DC1-0AE3-481C-A6AA-533736355E50}" xr6:coauthVersionLast="47" xr6:coauthVersionMax="47" xr10:uidLastSave="{53C12F24-A1A9-476C-9318-5B3B9C0A4B50}"/>
  <bookViews>
    <workbookView xWindow="-108" yWindow="-108" windowWidth="23256" windowHeight="11964" xr2:uid="{27182AD4-836B-4194-8287-A2C4FC030FAD}"/>
  </bookViews>
  <sheets>
    <sheet name="Windows" sheetId="3" r:id="rId1"/>
    <sheet name="Linu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G4" i="3"/>
  <c r="H3" i="3"/>
  <c r="G3" i="3"/>
  <c r="H2" i="3"/>
  <c r="G2" i="3"/>
  <c r="H3" i="2"/>
  <c r="H4" i="2"/>
  <c r="H2" i="2"/>
  <c r="G3" i="2"/>
  <c r="G4" i="2"/>
  <c r="G2" i="2"/>
</calcChain>
</file>

<file path=xl/sharedStrings.xml><?xml version="1.0" encoding="utf-8"?>
<sst xmlns="http://schemas.openxmlformats.org/spreadsheetml/2006/main" count="16" uniqueCount="13">
  <si>
    <t>Number of Files</t>
  </si>
  <si>
    <t>Median</t>
  </si>
  <si>
    <t>Average</t>
  </si>
  <si>
    <t>20260516_1</t>
  </si>
  <si>
    <t>20260516_2</t>
  </si>
  <si>
    <t>20260516_3</t>
  </si>
  <si>
    <t>20260516_4</t>
  </si>
  <si>
    <t>20260516_5</t>
  </si>
  <si>
    <t>20260517_1</t>
  </si>
  <si>
    <t>20260517_2</t>
  </si>
  <si>
    <t>20260517_3</t>
  </si>
  <si>
    <t>20260517_4</t>
  </si>
  <si>
    <t>20260517_5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</si>
</sst>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Elapsed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Windows!$H$1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Windows!$F$2:$F$4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21</c:v>
                </c:pt>
              </c:numCache>
            </c:numRef>
          </c:xVal>
          <c:yVal>
            <c:numRef>
              <c:f>Windows!$H$2:$H$4</c:f>
              <c:numCache>
                <c:formatCode>General</c:formatCode>
                <c:ptCount val="3"/>
                <c:pt idx="0">
                  <c:v>0.64813374057412021</c:v>
                </c:pt>
                <c:pt idx="1">
                  <c:v>0.56781612001359427</c:v>
                </c:pt>
                <c:pt idx="2">
                  <c:v>0.58428456038236587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EF-434F-8642-0449DDA1E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Windows!$G$1</c15:sqref>
                        </c15:formulaRef>
                      </c:ext>
                    </c:extLst>
                    <c:strCache>
                      <c:ptCount val="1"/>
                      <c:pt idx="0">
                        <c:v>Median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Windows!$F$2:$F$4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</c:v>
                      </c:pt>
                      <c:pt idx="1">
                        <c:v>14</c:v>
                      </c:pt>
                      <c:pt idx="2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Windows!$G$2:$G$4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0.54175650142133203</c:v>
                      </c:pt>
                      <c:pt idx="1">
                        <c:v>0.56465220078825895</c:v>
                      </c:pt>
                      <c:pt idx="2">
                        <c:v>0.57157119922339905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F3EF-434F-8642-0449DDA1E46F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Elapsed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Windows!$G$1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Windows!$F$2:$F$4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21</c:v>
                </c:pt>
              </c:numCache>
            </c:numRef>
          </c:xVal>
          <c:yVal>
            <c:numRef>
              <c:f>Windows!$G$2:$G$4</c:f>
              <c:numCache>
                <c:formatCode>General</c:formatCode>
                <c:ptCount val="3"/>
                <c:pt idx="0">
                  <c:v>0.54175650142133203</c:v>
                </c:pt>
                <c:pt idx="1">
                  <c:v>0.56465220078825895</c:v>
                </c:pt>
                <c:pt idx="2">
                  <c:v>0.57157119922339905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4D-4CA2-B29D-917C7F469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Windows!$H$1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Windows!$F$2:$F$4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</c:v>
                      </c:pt>
                      <c:pt idx="1">
                        <c:v>14</c:v>
                      </c:pt>
                      <c:pt idx="2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Windows!$H$2:$H$4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0.64813374057412021</c:v>
                      </c:pt>
                      <c:pt idx="1">
                        <c:v>0.56781612001359427</c:v>
                      </c:pt>
                      <c:pt idx="2">
                        <c:v>0.58428456038236587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64D-4CA2-B29D-917C7F469FD8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Elapsed time (Linux)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Linux!$H$1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Linux!$F$2:$F$4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21</c:v>
                </c:pt>
              </c:numCache>
            </c:numRef>
          </c:xVal>
          <c:yVal>
            <c:numRef>
              <c:f>Linux!$H$2:$H$4</c:f>
              <c:numCache>
                <c:formatCode>General</c:formatCode>
                <c:ptCount val="3"/>
                <c:pt idx="0">
                  <c:v>0.142115285999352</c:v>
                </c:pt>
                <c:pt idx="1">
                  <c:v>0.181698802000028</c:v>
                </c:pt>
                <c:pt idx="2">
                  <c:v>0.22511977300018701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B5-4B0B-901F-2D71A4FCC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Linux!$G$1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Linux!$F$2:$F$4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</c:v>
                      </c:pt>
                      <c:pt idx="1">
                        <c:v>14</c:v>
                      </c:pt>
                      <c:pt idx="2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Linux!$G$2:$G$4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0.14200439819978722</c:v>
                      </c:pt>
                      <c:pt idx="1">
                        <c:v>0.18224271320013918</c:v>
                      </c:pt>
                      <c:pt idx="2">
                        <c:v>0.22526750260021741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CB5-4B0B-901F-2D71A4FCC809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Elapsed time (Linux)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Linux!$G$1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Linux!$F$2:$F$4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21</c:v>
                </c:pt>
              </c:numCache>
            </c:numRef>
          </c:xVal>
          <c:yVal>
            <c:numRef>
              <c:f>Linux!$G$2:$G$4</c:f>
              <c:numCache>
                <c:formatCode>General</c:formatCode>
                <c:ptCount val="3"/>
                <c:pt idx="0">
                  <c:v>0.14200439819978722</c:v>
                </c:pt>
                <c:pt idx="1">
                  <c:v>0.18224271320013918</c:v>
                </c:pt>
                <c:pt idx="2">
                  <c:v>0.22526750260021741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DB-4BFC-A2B5-349CEB688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Linux!$H$1</c15:sqref>
                        </c15:formulaRef>
                      </c:ext>
                    </c:extLst>
                    <c:strCache>
                      <c:ptCount val="1"/>
                      <c:pt idx="0">
                        <c:v>Median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Linux!$F$2:$F$4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</c:v>
                      </c:pt>
                      <c:pt idx="1">
                        <c:v>14</c:v>
                      </c:pt>
                      <c:pt idx="2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Linux!$H$2:$H$4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0.142115285999352</c:v>
                      </c:pt>
                      <c:pt idx="1">
                        <c:v>0.181698802000028</c:v>
                      </c:pt>
                      <c:pt idx="2">
                        <c:v>0.22511977300018701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2DB-4BFC-A2B5-349CEB68807A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</xdr:colOff>
      <xdr:row>0</xdr:row>
      <xdr:rowOff>152400</xdr:rowOff>
    </xdr:from>
    <xdr:to>
      <xdr:col>20</xdr:col>
      <xdr:colOff>579120</xdr:colOff>
      <xdr:row>26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75306-AD83-4C2A-ADCC-A1341F18E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220980</xdr:colOff>
      <xdr:row>4</xdr:row>
      <xdr:rowOff>15240</xdr:rowOff>
    </xdr:from>
    <xdr:to>
      <xdr:col>9</xdr:col>
      <xdr:colOff>243840</xdr:colOff>
      <xdr:row>29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CBB87-452F-4719-824D-F0AA85539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350520</xdr:colOff>
      <xdr:row>0</xdr:row>
      <xdr:rowOff>83820</xdr:rowOff>
    </xdr:from>
    <xdr:to>
      <xdr:col>20</xdr:col>
      <xdr:colOff>289560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25ABC-D770-4AC4-8722-7FCE1A89D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30480</xdr:rowOff>
    </xdr:from>
    <xdr:to>
      <xdr:col>9</xdr:col>
      <xdr:colOff>419100</xdr:colOff>
      <xdr:row>29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C5EFB0-8AA8-47F5-ADB7-624958FDA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AF94-7CA1-42C1-8055-22006C7B7586}">
  <dimension ref="A1:H4"/>
  <sheetViews>
    <sheetView tabSelected="1" workbookViewId="0"/>
  </sheetViews>
  <sheetFormatPr defaultRowHeight="14.4" x14ac:dyDescent="0.3"/>
  <cols>
    <col min="1" max="1" width="9.109375" customWidth="1"/>
    <col min="2" max="2" width="8.77734375" customWidth="1"/>
    <col min="3" max="4" width="9.33203125" customWidth="1"/>
    <col min="5" max="5" width="8.88671875" customWidth="1"/>
    <col min="6" max="6" width="10.77734375" bestFit="1" customWidth="1"/>
    <col min="9" max="9" width="10.77734375" bestFit="1" customWidth="1"/>
  </cols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</row>
    <row r="2" spans="1:8" x14ac:dyDescent="0.3">
      <c r="A2">
        <v>1.1303209010511599</v>
      </c>
      <c r="B2">
        <v>0.54175650142133203</v>
      </c>
      <c r="C2">
        <v>0.49813869968056601</v>
      </c>
      <c r="D2">
        <v>0.56586980074644</v>
      </c>
      <c r="E2">
        <v>0.504582799971103</v>
      </c>
      <c r="F2">
        <v>7</v>
      </c>
      <c r="G2">
        <f>MEDIAN(A2:E2)</f>
        <v>0.54175650142133203</v>
      </c>
      <c r="H2">
        <f>AVERAGE(A2:E2)</f>
        <v>0.64813374057412021</v>
      </c>
    </row>
    <row r="3" spans="1:8" x14ac:dyDescent="0.3">
      <c r="A3">
        <v>0.61767509952187505</v>
      </c>
      <c r="B3">
        <v>0.566416500136256</v>
      </c>
      <c r="C3">
        <v>0.56465220078825895</v>
      </c>
      <c r="D3">
        <v>0.52926219999790103</v>
      </c>
      <c r="E3">
        <v>0.56107459962368</v>
      </c>
      <c r="F3">
        <v>14</v>
      </c>
      <c r="G3">
        <f t="shared" ref="G3:G4" si="0">MEDIAN(A3:E3)</f>
        <v>0.56465220078825895</v>
      </c>
      <c r="H3">
        <f t="shared" ref="H3:H4" si="1">AVERAGE(A3:E3)</f>
        <v>0.56781612001359427</v>
      </c>
    </row>
    <row r="4" spans="1:8" x14ac:dyDescent="0.3">
      <c r="A4">
        <v>0.657316399738192</v>
      </c>
      <c r="B4">
        <v>0.56513710133731299</v>
      </c>
      <c r="C4">
        <v>0.55280520021915402</v>
      </c>
      <c r="D4">
        <v>0.57157119922339905</v>
      </c>
      <c r="E4">
        <v>0.57459290139377095</v>
      </c>
      <c r="F4">
        <v>21</v>
      </c>
      <c r="G4">
        <f t="shared" si="0"/>
        <v>0.57157119922339905</v>
      </c>
      <c r="H4">
        <f t="shared" si="1"/>
        <v>0.58428456038236587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F162-87D8-4247-AC62-8D0D9A425E71}">
  <dimension ref="A1:H4"/>
  <sheetViews>
    <sheetView workbookViewId="0"/>
  </sheetViews>
  <sheetFormatPr defaultRowHeight="14.4" x14ac:dyDescent="0.3"/>
  <cols>
    <col min="1" max="1" width="9.5546875" customWidth="1"/>
    <col min="2" max="2" width="9.44140625" customWidth="1"/>
    <col min="3" max="3" width="9.5546875" customWidth="1"/>
    <col min="4" max="4" width="9.44140625" customWidth="1"/>
    <col min="5" max="5" width="9.21875" customWidth="1"/>
    <col min="6" max="6" width="13.6640625" bestFit="1" customWidth="1"/>
    <col min="7" max="7" width="8.88671875" customWidth="1"/>
    <col min="8" max="8" width="9.44140625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0</v>
      </c>
      <c r="G1" t="s">
        <v>2</v>
      </c>
      <c r="H1" t="s">
        <v>1</v>
      </c>
    </row>
    <row r="2" spans="1:8" x14ac:dyDescent="0.3">
      <c r="A2">
        <v>0.14187906900042399</v>
      </c>
      <c r="B2">
        <v>0.141429718999461</v>
      </c>
      <c r="C2">
        <v>0.14236882899967801</v>
      </c>
      <c r="D2">
        <v>0.142115285999352</v>
      </c>
      <c r="E2">
        <v>0.14222908800002099</v>
      </c>
      <c r="F2">
        <v>7</v>
      </c>
      <c r="G2">
        <f>AVERAGE(A2:E2)</f>
        <v>0.14200439819978722</v>
      </c>
      <c r="H2">
        <f>MEDIAN(A2:E2)</f>
        <v>0.142115285999352</v>
      </c>
    </row>
    <row r="3" spans="1:8" x14ac:dyDescent="0.3">
      <c r="A3">
        <v>0.182658058000015</v>
      </c>
      <c r="B3">
        <v>0.18437353599983899</v>
      </c>
      <c r="C3">
        <v>0.18149552800059601</v>
      </c>
      <c r="D3">
        <v>0.181698802000028</v>
      </c>
      <c r="E3">
        <v>0.180987642000218</v>
      </c>
      <c r="F3">
        <v>14</v>
      </c>
      <c r="G3">
        <f t="shared" ref="G3:G4" si="0">AVERAGE(A3:E3)</f>
        <v>0.18224271320013918</v>
      </c>
      <c r="H3">
        <f t="shared" ref="H3:H4" si="1">MEDIAN(A3:E3)</f>
        <v>0.181698802000028</v>
      </c>
    </row>
    <row r="4" spans="1:8" x14ac:dyDescent="0.3">
      <c r="A4">
        <v>0.22667597600047801</v>
      </c>
      <c r="B4">
        <v>0.22408872100004301</v>
      </c>
      <c r="C4">
        <v>0.22511977300018701</v>
      </c>
      <c r="D4">
        <v>0.22537492300034501</v>
      </c>
      <c r="E4">
        <v>0.22507812000003399</v>
      </c>
      <c r="F4">
        <v>21</v>
      </c>
      <c r="G4">
        <f t="shared" si="0"/>
        <v>0.22526750260021741</v>
      </c>
      <c r="H4">
        <f t="shared" si="1"/>
        <v>0.22511977300018701</v>
      </c>
    </row>
  </sheetData>
  <sortState xmlns:xlrd2="http://schemas.microsoft.com/office/spreadsheetml/2017/richdata2" columnSort="1" ref="A4:E4">
    <sortCondition ref="A4:E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Windows</vt:lpstr>
      <vt:lpstr>Linux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Vaidhyanathan</dc:creator>
  <cp:lastModifiedBy>Mithun Vaidhyanathan</cp:lastModifiedBy>
  <dcterms:created xsi:type="dcterms:W3CDTF">2025-12-06T13:07:13Z</dcterms:created>
  <dcterms:modified xsi:type="dcterms:W3CDTF">2026-05-20T17:47:03Z</dcterms:modified>
</cp:coreProperties>
</file>